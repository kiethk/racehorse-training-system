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283c63316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ption Inventory" sheetId="1" r:id="Rd853659373e943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i/>
      <x:sz val="10"/>
      <x:color rgb="FF7F1D1D"/>
      <x:name val="Arial"/>
    </x:font>
    <x:font>
      <x:b/>
      <x:sz val="10"/>
      <x:color rgb="FF7C2D12"/>
      <x:name val="Arial"/>
    </x:font>
    <x:font>
      <x:b/>
      <x:sz val="10"/>
      <x:color rgb="FF11182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FEE2E2"/>
      </x:patternFill>
    </x:fill>
    <x:fill>
      <x:patternFill patternType="solid">
        <x:fgColor rgb="FFFFF7ED"/>
      </x:patternFill>
    </x:fill>
    <x:fill>
      <x:patternFill patternType="solid">
        <x:fgColor rgb="FFE5E7EB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3ba08d4d734e26" /><Relationship Type="http://schemas.openxmlformats.org/officeDocument/2006/relationships/theme" Target="/xl/theme/theme1.xml" Id="R72043e212e704fa2" /><Relationship Type="http://schemas.openxmlformats.org/officeDocument/2006/relationships/sharedStrings" Target="/xl/sharedStrings.xml" Id="R9851cadbe06a40a2" /><Relationship Type="http://schemas.openxmlformats.org/officeDocument/2006/relationships/worksheet" Target="/xl/worksheets/sheet1.xml" Id="Rd853659373e943b6" /></Relationships>
</file>

<file path=xl/tables/table1.xml><?xml version="1.0" encoding="utf-8"?>
<x:table xmlns:x="http://schemas.openxmlformats.org/spreadsheetml/2006/main" id="1" name="ExceptionInventoryTable" displayName="ExceptionInventoryTable" ref="A5:K27" headerRowCount="1" totalsRowCount="0" totalsRowShown="0">
  <x:autoFilter ref="A5:K27"/>
  <x:tableColumns count="11">
    <x:tableColumn id="1" name="ID"/>
    <x:tableColumn id="2" name="Location"/>
    <x:tableColumn id="3" name="Layer"/>
    <x:tableColumn id="4" name="Exception / pattern"/>
    <x:tableColumn id="5" name="Current HTTP mapping"/>
    <x:tableColumn id="6" name="Message / contract issue"/>
    <x:tableColumn id="7" name="Severity"/>
    <x:tableColumn id="8" name="Refactor priority"/>
    <x:tableColumn id="9" name="Recommended target"/>
    <x:tableColumn id="10" name="Status"/>
    <x:tableColumn id="11" name="Evidence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29c7d6af6146ca" /></Relationships>
</file>

<file path=xl/worksheets/sheet1.xml><?xml version="1.0" encoding="utf-8"?>
<x:worksheet xmlns:x="http://schemas.openxmlformats.org/spreadsheetml/2006/main">
  <x:sheetPr>
    <x:tabColor rgb="FF7F1D1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4" hidden="0" customWidth="1"/>
    <x:col min="3" max="3" width="20" hidden="0" customWidth="1"/>
    <x:col min="4" max="4" width="29" hidden="0" customWidth="1"/>
    <x:col min="5" max="5" width="22" hidden="0" customWidth="1"/>
    <x:col min="6" max="6" width="46" hidden="0" customWidth="1"/>
    <x:col min="7" max="7" width="12" hidden="0" customWidth="1"/>
    <x:col min="8" max="8" width="14" hidden="0" customWidth="1"/>
    <x:col min="9" max="9" width="48" hidden="0" customWidth="1"/>
    <x:col min="10" max="10" width="14" hidden="0" customWidth="1"/>
    <x:col min="11" max="11" width="44" hidden="0" customWidth="1"/>
  </x:cols>
  <x:sheetData>
    <x:row r="1" ht="30" customHeight="1">
      <x:c r="A1" s="5" t="str">
        <x:v>RTMS Exception Inventory and Refactor Plan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4" customHeight="1">
      <x:c r="A2" s="9" t="str">
        <x:v>Read-only audit of backend exception creation/handling and frontend error patterns. No source code was changed. Evidence is based on the current working tree scan.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24" customHeight="1">
      <x:c r="A3" s="13" t="str">
        <x:v>Total findings</x:v>
      </x:c>
      <x:c r="B3" s="13" t="n">
        <x:f>COUNTA(A6:A27)</x:f>
        <x:v>22</x:v>
      </x:c>
      <x:c r="C3" s="13" t="str">
        <x:v>Critical</x:v>
      </x:c>
      <x:c r="D3" s="13" t="n">
        <x:f>COUNTIF(G6:G27,"Critical")</x:f>
        <x:v>2</x:v>
      </x:c>
      <x:c r="E3" s="13" t="str">
        <x:v>High</x:v>
      </x:c>
      <x:c r="F3" s="13" t="n">
        <x:f>COUNTIF(G6:G27,"High")</x:f>
        <x:v>11</x:v>
      </x:c>
      <x:c r="G3" s="13" t="str">
        <x:v>Medium</x:v>
      </x:c>
      <x:c r="H3" s="13" t="n">
        <x:f>COUNTIF(G6:G27,"Medium")</x:f>
        <x:v>9</x:v>
      </x:c>
      <x:c r="I3" s="13" t="str">
        <x:v>Low</x:v>
      </x:c>
      <x:c r="J3" s="13" t="n">
        <x:f>COUNTIF(G6:G27,"Low")</x:f>
        <x:v>0</x:v>
      </x:c>
      <x:c r="K3" s="13" t="n">
        <x:f>COUNTIF(J6:J27,"Open")</x:f>
        <x:v>22</x:v>
      </x:c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19" t="str">
        <x:v>ID</x:v>
      </x:c>
      <x:c r="B5" s="19" t="str">
        <x:v>Location</x:v>
      </x:c>
      <x:c r="C5" s="19" t="str">
        <x:v>Layer</x:v>
      </x:c>
      <x:c r="D5" s="19" t="str">
        <x:v>Exception / pattern</x:v>
      </x:c>
      <x:c r="E5" s="19" t="str">
        <x:v>Current HTTP mapping</x:v>
      </x:c>
      <x:c r="F5" s="19" t="str">
        <x:v>Message / contract issue</x:v>
      </x:c>
      <x:c r="G5" s="19" t="str">
        <x:v>Severity</x:v>
      </x:c>
      <x:c r="H5" s="19" t="str">
        <x:v>Refactor priority</x:v>
      </x:c>
      <x:c r="I5" s="19" t="str">
        <x:v>Recommended target</x:v>
      </x:c>
      <x:c r="J5" s="19" t="str">
        <x:v>Status</x:v>
      </x:c>
      <x:c r="K5" s="19" t="str">
        <x:v>Evidence / notes</x:v>
      </x:c>
    </x:row>
    <x:row r="6" ht="62" customHeight="1">
      <x:c r="A6" s="22" t="str">
        <x:v>EX-001</x:v>
      </x:c>
      <x:c r="B6" s="22" t="str">
        <x:v>backend/src/main/java/com/rtms/backend/config/GlobalExceptionHandler.java:75-78</x:v>
      </x:c>
      <x:c r="C6" s="22" t="str">
        <x:v>Global error contract</x:v>
      </x:c>
      <x:c r="D6" s="22" t="str">
        <x:v>RuntimeException catch-all</x:v>
      </x:c>
      <x:c r="E6" s="22" t="str">
        <x:v>404 RESOURCE_NOT_FOUND</x:v>
      </x:c>
      <x:c r="F6" s="22" t="str">
        <x:v>All unchecked failures fall through to a not-found response; business conflicts and unexpected failures can be reported as 404 with raw exception text.</x:v>
      </x:c>
      <x:c r="G6" s="23" t="str">
        <x:v>Critical</x:v>
      </x:c>
      <x:c r="H6" s="23" t="str">
        <x:v>P0</x:v>
      </x:c>
      <x:c r="I6" s="22" t="str">
        <x:v>Replace with explicit domain exception hierarchy and a safe default 500 response; preserve a stable error envelope.</x:v>
      </x:c>
      <x:c r="J6" s="23" t="str">
        <x:v>Open</x:v>
      </x:c>
      <x:c r="K6" s="22" t="str">
        <x:v>Central blast radius. This is the first refactor checkpoint before changing individual services.</x:v>
      </x:c>
    </x:row>
    <x:row r="7" ht="62" customHeight="1">
      <x:c r="A7" s="22" t="str">
        <x:v>EX-002</x:v>
      </x:c>
      <x:c r="B7" s="22" t="str">
        <x:v>backend/src/main/java/com/rtms/backend/config/GlobalExceptionHandler.java:19-82</x:v>
      </x:c>
      <x:c r="C7" s="22" t="str">
        <x:v>Global error contract</x:v>
      </x:c>
      <x:c r="D7" s="22" t="str">
        <x:v>Multiple exception-to-error-code mappings</x:v>
      </x:c>
      <x:c r="E7" s="22" t="str">
        <x:v>Mixed: explicit handlers plus fallback</x:v>
      </x:c>
      <x:c r="F7" s="22" t="str">
        <x:v>The API exposes several paths for status and error-code mapping; ResponseStatusException uses status heuristics and maps every 409 to INVALID_REVIEW_STATE.</x:v>
      </x:c>
      <x:c r="G7" s="23" t="str">
        <x:v>High</x:v>
      </x:c>
      <x:c r="H7" s="23" t="str">
        <x:v>P0</x:v>
      </x:c>
      <x:c r="I7" s="22" t="str">
        <x:v>Centralize mapping in one exception-to-problem-details policy with domain error codes owned by the domain layer.</x:v>
      </x:c>
      <x:c r="J7" s="23" t="str">
        <x:v>Open</x:v>
      </x:c>
      <x:c r="K7" s="22" t="str">
        <x:v>Affects client behavior even when HTTP status is correct.</x:v>
      </x:c>
    </x:row>
    <x:row r="8" ht="62" customHeight="1">
      <x:c r="A8" s="22" t="str">
        <x:v>EX-003</x:v>
      </x:c>
      <x:c r="B8" s="22" t="str">
        <x:v>backend/src/main/java/com/rtms/backend/config/ApiException.java:5-18; 40+ call sites</x:v>
      </x:c>
      <x:c r="C8" s="22" t="str">
        <x:v>Application/domain boundary</x:v>
      </x:c>
      <x:c r="D8" s="22" t="str">
        <x:v>ApiException carries HttpStatus</x:v>
      </x:c>
      <x:c r="E8" s="22" t="str">
        <x:v>Explicit status from call site</x:v>
      </x:c>
      <x:c r="F8" s="22" t="str">
        <x:v>Service and controller code must know transport-level HTTP status, coupling business logic to REST concerns.</x:v>
      </x:c>
      <x:c r="G8" s="23" t="str">
        <x:v>High</x:v>
      </x:c>
      <x:c r="H8" s="23" t="str">
        <x:v>P1</x:v>
      </x:c>
      <x:c r="I8" s="22" t="str">
        <x:v>Split domain exceptions from an adapter-level HTTP mapping; keep error code and safe message as domain data.</x:v>
      </x:c>
      <x:c r="J8" s="23" t="str">
        <x:v>Open</x:v>
      </x:c>
      <x:c r="K8" s="22" t="str">
        <x:v>Existing custom exception is useful as an inventory anchor but is transport-coupled.</x:v>
      </x:c>
    </x:row>
    <x:row r="9" ht="62" customHeight="1">
      <x:c r="A9" s="22" t="str">
        <x:v>EX-004</x:v>
      </x:c>
      <x:c r="B9" s="22" t="str">
        <x:v>backend/src/main/java/com/rtms/backend/service/*; controller/*</x:v>
      </x:c>
      <x:c r="C9" s="22" t="str">
        <x:v>Exception taxonomy</x:v>
      </x:c>
      <x:c r="D9" s="22" t="str">
        <x:v>RuntimeException for not-found resources</x:v>
      </x:c>
      <x:c r="E9" s="22" t="str">
        <x:v>Usually 404 only because of catch-all</x:v>
      </x:c>
      <x:c r="F9" s="22" t="str">
        <x:v>Many repositories use generic RuntimeException for missing horse, course, stall, task, report, plan, treatment or subject; semantics are implicit and inconsistent.</x:v>
      </x:c>
      <x:c r="G9" s="23" t="str">
        <x:v>High</x:v>
      </x:c>
      <x:c r="H9" s="23" t="str">
        <x:v>P0</x:v>
      </x:c>
      <x:c r="I9" s="22" t="str">
        <x:v>Introduce typed NotFound exceptions by aggregate/resource and replace generic orElseThrow lambdas incrementally.</x:v>
      </x:c>
      <x:c r="J9" s="23" t="str">
        <x:v>Open</x:v>
      </x:c>
      <x:c r="K9" s="22" t="str">
        <x:v>Representative examples: HorseService:132, StableStallService:49, GroomDailyTaskService:123, CourseService:42.</x:v>
      </x:c>
    </x:row>
    <x:row r="10" ht="62" customHeight="1">
      <x:c r="A10" s="22" t="str">
        <x:v>EX-005</x:v>
      </x:c>
      <x:c r="B10" s="22" t="str">
        <x:v>backend/src/main/java/com/rtms/backend/service/*</x:v>
      </x:c>
      <x:c r="C10" s="22" t="str">
        <x:v>Exception taxonomy</x:v>
      </x:c>
      <x:c r="D10" s="22" t="str">
        <x:v>IllegalArgumentException for validation and business rules</x:v>
      </x:c>
      <x:c r="E10" s="22" t="str">
        <x:v>400 VALIDATION_ERROR</x:v>
      </x:c>
      <x:c r="F10" s="22" t="str">
        <x:v>Input validation, missing related resources, duplicate data and business constraints share the same exception type and often bypass structured field errors.</x:v>
      </x:c>
      <x:c r="G10" s="23" t="str">
        <x:v>High</x:v>
      </x:c>
      <x:c r="H10" s="23" t="str">
        <x:v>P1</x:v>
      </x:c>
      <x:c r="I10" s="22" t="str">
        <x:v>Use request validation for shape errors and typed domain exceptions for business rule violations; define a stable error-code catalog.</x:v>
      </x:c>
      <x:c r="J10" s="23" t="str">
        <x:v>Open</x:v>
      </x:c>
      <x:c r="K10" s="22" t="str">
        <x:v>Representative examples: AdmissionManagerReviewService:71, HorseTrainingPlanService:221-271, SubjectService:40-61.</x:v>
      </x:c>
    </x:row>
    <x:row r="11" ht="62" customHeight="1">
      <x:c r="A11" s="22" t="str">
        <x:v>EX-006</x:v>
      </x:c>
      <x:c r="B11" s="22" t="str">
        <x:v>backend/src/main/java/com/rtms/backend/service/*</x:v>
      </x:c>
      <x:c r="C11" s="22" t="str">
        <x:v>Exception taxonomy</x:v>
      </x:c>
      <x:c r="D11" s="22" t="str">
        <x:v>IllegalStateException for domain conflicts</x:v>
      </x:c>
      <x:c r="E11" s="22" t="str">
        <x:v>Usually 500 or 404 through fallback</x:v>
      </x:c>
      <x:c r="F11" s="22" t="str">
        <x:v>State conflicts such as occupied stall, duplicate review, locked horse, invalid admission state and cancelled workout are not represented as conflict/unprocessable semantics consistently.</x:v>
      </x:c>
      <x:c r="G11" s="23" t="str">
        <x:v>Critical</x:v>
      </x:c>
      <x:c r="H11" s="23" t="str">
        <x:v>P0</x:v>
      </x:c>
      <x:c r="I11" s="22" t="str">
        <x:v>Introduce Conflict/InvalidState domain exceptions mapped to 409 or 422 according to a documented matrix.</x:v>
      </x:c>
      <x:c r="J11" s="23" t="str">
        <x:v>Open</x:v>
      </x:c>
      <x:c r="K11" s="22" t="str">
        <x:v>Representative examples: HorseService:211, AdmissionManagerReviewService:55-162, HorseTrainingPlanService:248-545.</x:v>
      </x:c>
    </x:row>
    <x:row r="12" ht="62" customHeight="1">
      <x:c r="A12" s="22" t="str">
        <x:v>EX-007</x:v>
      </x:c>
      <x:c r="B12" s="22" t="str">
        <x:v>backend/src/main/java/com/rtms/backend/service/AdmissionGroomReviewService.java:63-194</x:v>
      </x:c>
      <x:c r="C12" s="22" t="str">
        <x:v>Admission workflow</x:v>
      </x:c>
      <x:c r="D12" s="22" t="str">
        <x:v>ResponseStatusException in Groom review</x:v>
      </x:c>
      <x:c r="E12" s="22" t="str">
        <x:v>Mostly explicit 400/404/409</x:v>
      </x:c>
      <x:c r="F12" s="22" t="str">
        <x:v>Groom admission logic is closer to an HTTP contract but keeps transport exceptions in the service and duplicates status/message decisions.</x:v>
      </x:c>
      <x:c r="G12" s="23" t="str">
        <x:v>Medium</x:v>
      </x:c>
      <x:c r="H12" s="23" t="str">
        <x:v>P1</x:v>
      </x:c>
      <x:c r="I12" s="22" t="str">
        <x:v>Move admission review outcomes to named domain errors and let one adapter map them to the existing workflow contract.</x:v>
      </x:c>
      <x:c r="J12" s="23" t="str">
        <x:v>Open</x:v>
      </x:c>
      <x:c r="K12" s="22" t="str">
        <x:v>Keep current API behavior during migration because Groom UI depends on these statuses.</x:v>
      </x:c>
    </x:row>
    <x:row r="13" ht="62" customHeight="1">
      <x:c r="A13" s="22" t="str">
        <x:v>EX-008</x:v>
      </x:c>
      <x:c r="B13" s="22" t="str">
        <x:v>backend/src/main/java/com/rtms/backend/service/AdmissionManagerReviewService.java:52-162; AdmissionTrainerReviewService.java:50-117</x:v>
      </x:c>
      <x:c r="C13" s="22" t="str">
        <x:v>Admission workflow</x:v>
      </x:c>
      <x:c r="D13" s="22" t="str">
        <x:v>Mixed generic exceptions across review stages</x:v>
      </x:c>
      <x:c r="E13" s="22" t="str">
        <x:v>Inconsistent</x:v>
      </x:c>
      <x:c r="F13" s="22" t="str">
        <x:v>Manager and Trainer review paths use IllegalArgumentException, IllegalStateException and RuntimeException for equivalent workflow outcomes.</x:v>
      </x:c>
      <x:c r="G13" s="23" t="str">
        <x:v>High</x:v>
      </x:c>
      <x:c r="H13" s="23" t="str">
        <x:v>P0</x:v>
      </x:c>
      <x:c r="I13" s="22" t="str">
        <x:v>Create one admission-review exception vocabulary shared by Groom, Trainer, Vet and Manager stages.</x:v>
      </x:c>
      <x:c r="J13" s="23" t="str">
        <x:v>Open</x:v>
      </x:c>
      <x:c r="K13" s="22" t="str">
        <x:v>Important for cross-role consistency and idempotent review actions.</x:v>
      </x:c>
    </x:row>
    <x:row r="14" ht="62" customHeight="1">
      <x:c r="A14" s="22" t="str">
        <x:v>EX-009</x:v>
      </x:c>
      <x:c r="B14" s="22" t="str">
        <x:v>backend/src/main/java/com/rtms/backend/service/AdmissionReviewService.java:38-71</x:v>
      </x:c>
      <x:c r="C14" s="22" t="str">
        <x:v>Admission workflow</x:v>
      </x:c>
      <x:c r="D14" s="22" t="str">
        <x:v>orElseThrow() without an explicit exception</x:v>
      </x:c>
      <x:c r="E14" s="22" t="str">
        <x:v>Framework default / potentially inconsistent</x:v>
      </x:c>
      <x:c r="F14" s="22" t="str">
        <x:v>Bare Optional.orElseThrow makes the error type and API response dependent on the global fallback instead of the admission contract.</x:v>
      </x:c>
      <x:c r="G14" s="23" t="str">
        <x:v>High</x:v>
      </x:c>
      <x:c r="H14" s="23" t="str">
        <x:v>P1</x:v>
      </x:c>
      <x:c r="I14" s="22" t="str">
        <x:v>Replace with explicit typed not-found or invariant exceptions and add controller contract tests.</x:v>
      </x:c>
      <x:c r="J14" s="23" t="str">
        <x:v>Open</x:v>
      </x:c>
      <x:c r="K14" s="22" t="str">
        <x:v>Direct evidence at lines 70-71.</x:v>
      </x:c>
    </x:row>
    <x:row r="15" ht="62" customHeight="1">
      <x:c r="A15" s="22" t="str">
        <x:v>EX-010</x:v>
      </x:c>
      <x:c r="B15" s="22" t="str">
        <x:v>backend/src/main/java/com/rtms/backend/security/CustomAccessDeniedHandler.java:17-25; CustomAuthEntryPoint.java:17-25; GlobalExceptionHandler.java:24-28</x:v>
      </x:c>
      <x:c r="C15" s="22" t="str">
        <x:v>Security error contract</x:v>
      </x:c>
      <x:c r="D15" s="22" t="str">
        <x:v>Security errors have separate servlet and MVC handlers</x:v>
      </x:c>
      <x:c r="E15" s="22" t="str">
        <x:v>401/403 with similar envelopes</x:v>
      </x:c>
      <x:c r="F15" s="22" t="str">
        <x:v>Unauthorized and forbidden responses are generated in multiple places; message text and logging policy can drift.</x:v>
      </x:c>
      <x:c r="G15" s="23" t="str">
        <x:v>Medium</x:v>
      </x:c>
      <x:c r="H15" s="23" t="str">
        <x:v>P1</x:v>
      </x:c>
      <x:c r="I15" s="22" t="str">
        <x:v>Define one error response factory and shared security error codes; keep servlet entry-point integration thin.</x:v>
      </x:c>
      <x:c r="J15" s="23" t="str">
        <x:v>Open</x:v>
      </x:c>
      <x:c r="K15" s="22" t="str">
        <x:v>Do not merge authentication and authorization semantics; only unify the response contract.</x:v>
      </x:c>
    </x:row>
    <x:row r="16" ht="62" customHeight="1">
      <x:c r="A16" s="22" t="str">
        <x:v>EX-011</x:v>
      </x:c>
      <x:c r="B16" s="22" t="str">
        <x:v>backend/src/main/java/com/rtms/backend/config/GlobalExceptionHandler.java:30-37, 40-44</x:v>
      </x:c>
      <x:c r="C16" s="22" t="str">
        <x:v>Validation</x:v>
      </x:c>
      <x:c r="D16" s="22" t="str">
        <x:v>Validation handler returns only first error</x:v>
      </x:c>
      <x:c r="E16" s="22" t="str">
        <x:v>400 VALIDATION_ERROR</x:v>
      </x:c>
      <x:c r="F16" s="22" t="str">
        <x:v>Multiple field violations are collapsed into a single message, limiting frontend correction and observability.</x:v>
      </x:c>
      <x:c r="G16" s="23" t="str">
        <x:v>Medium</x:v>
      </x:c>
      <x:c r="H16" s="23" t="str">
        <x:v>P1</x:v>
      </x:c>
      <x:c r="I16" s="22" t="str">
        <x:v>Return structured field errors while preserving the existing top-level code/message for compatibility.</x:v>
      </x:c>
      <x:c r="J16" s="23" t="str">
        <x:v>Open</x:v>
      </x:c>
      <x:c r="K16" s="22" t="str">
        <x:v>Also review MethodArgumentTypeMismatch and malformed JSON responses together.</x:v>
      </x:c>
    </x:row>
    <x:row r="17" ht="62" customHeight="1">
      <x:c r="A17" s="22" t="str">
        <x:v>EX-012</x:v>
      </x:c>
      <x:c r="B17" s="22" t="str">
        <x:v>backend/src/main/java/com/rtms/backend/config/GlobalExceptionHandler.java:69-73</x:v>
      </x:c>
      <x:c r="C17" s="22" t="str">
        <x:v>Persistence boundary</x:v>
      </x:c>
      <x:c r="D17" s="22" t="str">
        <x:v>Database/persistence exceptions are normalized without correlation detail</x:v>
      </x:c>
      <x:c r="E17" s="22" t="str">
        <x:v>500 INTERNAL_ERROR</x:v>
      </x:c>
      <x:c r="F17" s="22" t="str">
        <x:v>The client gets a safe message, but server-side diagnostics and constraint-specific classification are not visible in this handler.</x:v>
      </x:c>
      <x:c r="G17" s="23" t="str">
        <x:v>High</x:v>
      </x:c>
      <x:c r="H17" s="23" t="str">
        <x:v>P1</x:v>
      </x:c>
      <x:c r="I17" s="22" t="str">
        <x:v>Add correlation ID and structured server logging; classify known integrity conflicts separately from unknown database failures.</x:v>
      </x:c>
      <x:c r="J17" s="23" t="str">
        <x:v>Open</x:v>
      </x:c>
      <x:c r="K17" s="22" t="str">
        <x:v>No raw SQL is returned here, which is good; preserve that behavior.</x:v>
      </x:c>
    </x:row>
    <x:row r="18" ht="62" customHeight="1">
      <x:c r="A18" s="22" t="str">
        <x:v>EX-013</x:v>
      </x:c>
      <x:c r="B18" s="22" t="str">
        <x:v>backend/src/main/java/com/rtms/backend/service/AdmissionFileStorage.java:60-84</x:v>
      </x:c>
      <x:c r="C18" s="22" t="str">
        <x:v>File storage</x:v>
      </x:c>
      <x:c r="D18" s="22" t="str">
        <x:v>IOException and RuntimeException catch/rethrow</x:v>
      </x:c>
      <x:c r="E18" s="22" t="str">
        <x:v>400/404/500 ResponseStatusException</x:v>
      </x:c>
      <x:c r="F18" s="22" t="str">
        <x:v>Storage failures are converted to transport exceptions inside a service; cleanup also ignores IOException, making diagnosis and retry behavior unclear.</x:v>
      </x:c>
      <x:c r="G18" s="23" t="str">
        <x:v>Medium</x:v>
      </x:c>
      <x:c r="H18" s="23" t="str">
        <x:v>P2</x:v>
      </x:c>
      <x:c r="I18" s="22" t="str">
        <x:v>Introduce storage-specific exceptions, explicit cleanup logging and a stable error code for unavailable documents.</x:v>
      </x:c>
      <x:c r="J18" s="23" t="str">
        <x:v>Open</x:v>
      </x:c>
      <x:c r="K18" s="22" t="str">
        <x:v>Review external-hosted document branch separately from local file branch.</x:v>
      </x:c>
    </x:row>
    <x:row r="19" ht="62" customHeight="1">
      <x:c r="A19" s="22" t="str">
        <x:v>EX-014</x:v>
      </x:c>
      <x:c r="B19" s="22" t="str">
        <x:v>backend/src/main/java/com/rtms/backend/scheduler/GroomDailyTaskScheduler.java:35; TrainingPlanStatusScheduler.java:52</x:v>
      </x:c>
      <x:c r="C19" s="22" t="str">
        <x:v>Background jobs</x:v>
      </x:c>
      <x:c r="D19" s="22" t="str">
        <x:v>catch (Exception) around scheduled work</x:v>
      </x:c>
      <x:c r="E19" s="22" t="str">
        <x:v>No HTTP response</x:v>
      </x:c>
      <x:c r="F19" s="22" t="str">
        <x:v>Scheduled job failures are swallowed/logged at a broad boundary; partial work and retry policy are not represented in an error contract.</x:v>
      </x:c>
      <x:c r="G19" s="23" t="str">
        <x:v>High</x:v>
      </x:c>
      <x:c r="H19" s="23" t="str">
        <x:v>P1</x:v>
      </x:c>
      <x:c r="I19" s="22" t="str">
        <x:v>Define job-level failure policy: transaction boundary, retry/backoff, alerting and idempotency key per job run.</x:v>
      </x:c>
      <x:c r="J19" s="23" t="str">
        <x:v>Open</x:v>
      </x:c>
      <x:c r="K19" s="22" t="str">
        <x:v>This is not an API exception but is part of the refactor surface.</x:v>
      </x:c>
    </x:row>
    <x:row r="20" ht="62" customHeight="1">
      <x:c r="A20" s="22" t="str">
        <x:v>EX-015</x:v>
      </x:c>
      <x:c r="B20" s="22" t="str">
        <x:v>backend/src/main/java/com/rtms/backend/interceptor/HttpAuditInterceptor.java:57; AuditLogService.java:56</x:v>
      </x:c>
      <x:c r="C20" s="22" t="str">
        <x:v>Observability</x:v>
      </x:c>
      <x:c r="D20" s="22" t="str">
        <x:v>catch (Exception) in audit paths</x:v>
      </x:c>
      <x:c r="E20" s="22" t="str">
        <x:v>Request continues / audit behavior depends on implementation</x:v>
      </x:c>
      <x:c r="F20" s="22" t="str">
        <x:v>Audit failures can be hidden and may not carry request correlation, actor or endpoint context consistently.</x:v>
      </x:c>
      <x:c r="G20" s="23" t="str">
        <x:v>Medium</x:v>
      </x:c>
      <x:c r="H20" s="23" t="str">
        <x:v>P2</x:v>
      </x:c>
      <x:c r="I20" s="22" t="str">
        <x:v>Use a dedicated audit failure policy: never break business requests, but emit structured logs/metrics with correlation data.</x:v>
      </x:c>
      <x:c r="J20" s="23" t="str">
        <x:v>Open</x:v>
      </x:c>
      <x:c r="K20" s="22" t="str">
        <x:v>Keep audit isolation explicit and tested.</x:v>
      </x:c>
    </x:row>
    <x:row r="21" ht="62" customHeight="1">
      <x:c r="A21" s="22" t="str">
        <x:v>EX-016</x:v>
      </x:c>
      <x:c r="B21" s="22" t="str">
        <x:v>backend/src/main/java/com/rtms/backend/service/AuthService.java:142-156</x:v>
      </x:c>
      <x:c r="C21" s="22" t="str">
        <x:v>Authentication</x:v>
      </x:c>
      <x:c r="D21" s="22" t="str">
        <x:v>RuntimeException wraps token hashing and user lookup</x:v>
      </x:c>
      <x:c r="E21" s="22" t="str">
        <x:v>500 or 404 via fallback</x:v>
      </x:c>
      <x:c r="F21" s="22" t="str">
        <x:v>Infrastructure failure and missing user are represented with generic runtime exceptions; auth failures can be misclassified.</x:v>
      </x:c>
      <x:c r="G21" s="23" t="str">
        <x:v>High</x:v>
      </x:c>
      <x:c r="H21" s="23" t="str">
        <x:v>P1</x:v>
      </x:c>
      <x:c r="I21" s="22" t="str">
        <x:v>Separate authentication failure, missing principal and cryptographic infrastructure exceptions; never expose internal cause text.</x:v>
      </x:c>
      <x:c r="J21" s="23" t="str">
        <x:v>Open</x:v>
      </x:c>
      <x:c r="K21" s="22" t="str">
        <x:v>Review together with CustomAuthEntryPoint and refresh-token errors.</x:v>
      </x:c>
    </x:row>
    <x:row r="22" ht="62" customHeight="1">
      <x:c r="A22" s="22" t="str">
        <x:v>EX-017</x:v>
      </x:c>
      <x:c r="B22" s="22" t="str">
        <x:v>backend/src/main/java/com/rtms/backend/service/GroomIncidentReportService.java:40-195</x:v>
      </x:c>
      <x:c r="C22" s="22" t="str">
        <x:v>Groom incident workflow</x:v>
      </x:c>
      <x:c r="D22" s="22" t="str">
        <x:v>RuntimeException/IllegalArgumentException/IllegalStateException mix</x:v>
      </x:c>
      <x:c r="E22" s="22" t="str">
        <x:v>Inconsistent; some paths may become 404</x:v>
      </x:c>
      <x:c r="F22" s="22" t="str">
        <x:v>Incident validation, missing entities, state transitions and attachment errors use multiple generic types and include Vietnamese messages.</x:v>
      </x:c>
      <x:c r="G22" s="23" t="str">
        <x:v>High</x:v>
      </x:c>
      <x:c r="H22" s="23" t="str">
        <x:v>P1</x:v>
      </x:c>
      <x:c r="I22" s="22" t="str">
        <x:v>Define incident-report validation, not-found, conflict and attachment error codes; keep user-facing language at the API boundary.</x:v>
      </x:c>
      <x:c r="J22" s="23" t="str">
        <x:v>Open</x:v>
      </x:c>
      <x:c r="K22" s="22" t="str">
        <x:v>Relevant to the recent Groom incident-report UI issue.</x:v>
      </x:c>
    </x:row>
    <x:row r="23" ht="62" customHeight="1">
      <x:c r="A23" s="22" t="str">
        <x:v>EX-018</x:v>
      </x:c>
      <x:c r="B23" s="22" t="str">
        <x:v>backend/src/main/java/com/rtms/backend/service/HorseTrainingPlanService.java:221-848</x:v>
      </x:c>
      <x:c r="C23" s="22" t="str">
        <x:v>Training domain</x:v>
      </x:c>
      <x:c r="D23" s="22" t="str">
        <x:v>Large service owns many generic business exceptions</x:v>
      </x:c>
      <x:c r="E23" s="22" t="str">
        <x:v>Mixed 400/404/500</x:v>
      </x:c>
      <x:c r="F23" s="22" t="str">
        <x:v>Plan creation, assignment, scheduling, workout completion and capacity rules share one service and generic exception vocabulary.</x:v>
      </x:c>
      <x:c r="G23" s="23" t="str">
        <x:v>High</x:v>
      </x:c>
      <x:c r="H23" s="23" t="str">
        <x:v>P1</x:v>
      </x:c>
      <x:c r="I23" s="22" t="str">
        <x:v>Split by use case/domain policy first, then migrate exceptions to typed rule violations without changing behavior in one step.</x:v>
      </x:c>
      <x:c r="J23" s="23" t="str">
        <x:v>Open</x:v>
      </x:c>
      <x:c r="K23" s="22" t="str">
        <x:v>High change surface; refactor after the central error contract is defined.</x:v>
      </x:c>
    </x:row>
    <x:row r="24" ht="62" customHeight="1">
      <x:c r="A24" s="22" t="str">
        <x:v>EX-019</x:v>
      </x:c>
      <x:c r="B24" s="22" t="str">
        <x:v>backend/src/main/java/com/rtms/backend/service/RaceRegistrationService.java:55-192; PreventiveCareService.java:41-86; VetExamService.java:54-352</x:v>
      </x:c>
      <x:c r="C24" s="22" t="str">
        <x:v>Typed exception adoption</x:v>
      </x:c>
      <x:c r="D24" s="22" t="str">
        <x:v>Some modules already use ApiException consistently</x:v>
      </x:c>
      <x:c r="E24" s="22" t="str">
        <x:v>Mostly explicit</x:v>
      </x:c>
      <x:c r="F24" s="22" t="str">
        <x:v>These services provide a useful migration reference, but error-code naming and 400 vs 409 choices still need a shared catalog.</x:v>
      </x:c>
      <x:c r="G24" s="23" t="str">
        <x:v>Medium</x:v>
      </x:c>
      <x:c r="H24" s="23" t="str">
        <x:v>P2</x:v>
      </x:c>
      <x:c r="I24" s="22" t="str">
        <x:v>Use these modules as compatibility baselines; standardize codes and response payload shape before broad migration.</x:v>
      </x:c>
      <x:c r="J24" s="23" t="str">
        <x:v>Open</x:v>
      </x:c>
      <x:c r="K24" s="22" t="str">
        <x:v>Positive existing pattern, recorded so refactor does not regress it.</x:v>
      </x:c>
    </x:row>
    <x:row r="25" ht="62" customHeight="1">
      <x:c r="A25" s="22" t="str">
        <x:v>EX-020</x:v>
      </x:c>
      <x:c r="B25" s="22" t="str">
        <x:v>frontend/src/services/api.ts:125; frontend/src/features/*/services/*.ts; frontend/src/features/*/components/*</x:v>
      </x:c>
      <x:c r="C25" s="22" t="str">
        <x:v>Frontend error handling</x:v>
      </x:c>
      <x:c r="D25" s="22" t="str">
        <x:v>Generic Error plus ad hoc catch UI</x:v>
      </x:c>
      <x:c r="E25" s="22" t="str">
        <x:v>Client-specific</x:v>
      </x:c>
      <x:c r="F25" s="22" t="str">
        <x:v>Frontend services throw generic Error/ApiError and components handle failures independently; message extraction and retry presentation can diverge.</x:v>
      </x:c>
      <x:c r="G25" s="23" t="str">
        <x:v>Medium</x:v>
      </x:c>
      <x:c r="H25" s="23" t="str">
        <x:v>P2</x:v>
      </x:c>
      <x:c r="I25" s="22" t="str">
        <x:v>Expose a typed client error model, centralized message mapping and shared loading/error/retry state components.</x:v>
      </x:c>
      <x:c r="J25" s="23" t="str">
        <x:v>Open</x:v>
      </x:c>
      <x:c r="K25" s="22" t="str">
        <x:v>Secondary scope: inventory only; no frontend changes were made.</x:v>
      </x:c>
    </x:row>
    <x:row r="26" ht="62" customHeight="1">
      <x:c r="A26" s="22" t="str">
        <x:v>EX-021</x:v>
      </x:c>
      <x:c r="B26" s="22" t="str">
        <x:v>backend/src/test/java/com/rtms/backend/service/*Test.java</x:v>
      </x:c>
      <x:c r="C26" s="22" t="str">
        <x:v>Tests and contract</x:v>
      </x:c>
      <x:c r="D26" s="22" t="str">
        <x:v>Tests assert generic exception classes</x:v>
      </x:c>
      <x:c r="E26" s="22" t="str">
        <x:v>Test-level only</x:v>
      </x:c>
      <x:c r="F26" s="22" t="str">
        <x:v>Tests lock in RuntimeException/IllegalStateException/IllegalArgumentException instead of the intended HTTP error contract for many paths.</x:v>
      </x:c>
      <x:c r="G26" s="23" t="str">
        <x:v>Medium</x:v>
      </x:c>
      <x:c r="H26" s="23" t="str">
        <x:v>P1</x:v>
      </x:c>
      <x:c r="I26" s="22" t="str">
        <x:v>Add controller/API contract tests first, then update service tests to assert typed domain errors and invariants.</x:v>
      </x:c>
      <x:c r="J26" s="23" t="str">
        <x:v>Open</x:v>
      </x:c>
      <x:c r="K26" s="22" t="str">
        <x:v>Representative tests: AdmissionManagerReviewServiceTest, HorseTrainingPlanServiceTest, GroomDailyTaskServiceTest.</x:v>
      </x:c>
    </x:row>
    <x:row r="27" ht="62" customHeight="1">
      <x:c r="A27" s="22" t="str">
        <x:v>EX-022</x:v>
      </x:c>
      <x:c r="B27" s="22" t="str">
        <x:v>backend/src/main/java/com/rtms/backend/**/*.java</x:v>
      </x:c>
      <x:c r="C27" s="22" t="str">
        <x:v>Message consistency</x:v>
      </x:c>
      <x:c r="D27" s="22" t="str">
        <x:v>Mixed English and Vietnamese exception messages</x:v>
      </x:c>
      <x:c r="E27" s="22" t="str">
        <x:v>Message is returned in several handlers</x:v>
      </x:c>
      <x:c r="F27" s="22" t="str">
        <x:v>Client-visible error messages are not language-neutral and may expose implementation/business details directly.</x:v>
      </x:c>
      <x:c r="G27" s="23" t="str">
        <x:v>Medium</x:v>
      </x:c>
      <x:c r="H27" s="23" t="str">
        <x:v>P2</x:v>
      </x:c>
      <x:c r="I27" s="22" t="str">
        <x:v>Use stable error codes plus localized client messages; keep server logs detailed and client payloads safe.</x:v>
      </x:c>
      <x:c r="J27" s="23" t="str">
        <x:v>Open</x:v>
      </x:c>
      <x:c r="K27" s="22" t="str">
        <x:v>Examples include HorseService, StableStallService, HorseTrainingPlanService and RaceRegistrationService.</x:v>
      </x:c>
    </x:row>
  </x:sheetData>
  <x:mergeCells>
    <x:mergeCell ref="A1:K1"/>
    <x:mergeCell ref="A2:K2"/>
  </x:mergeCells>
  <x:conditionalFormatting sqref="G6:G27">
    <x:cfRule type="containsText" dxfId="0" priority="1" operator="containsText" text="Critical"/>
    <x:cfRule type="containsText" dxfId="1" priority="2" operator="containsText" text="High"/>
    <x:cfRule type="containsText" dxfId="2" priority="3" operator="containsText" text="Medium"/>
  </x:conditionalFormatting>
  <x:conditionalFormatting sqref="J6:J27">
    <x:cfRule type="containsText" dxfId="3" priority="4" operator="containsText" text="Open"/>
  </x:conditionalFormatting>
  <x:dataValidations count="3">
    <x:dataValidation type="list" sqref="G6:G27">
      <x:formula1>"Critical,High,Medium,Low"</x:formula1>
    </x:dataValidation>
    <x:dataValidation type="list" sqref="H6:H27">
      <x:formula1>"P0,P1,P2,P3"</x:formula1>
    </x:dataValidation>
    <x:dataValidation type="list" sqref="J6:J27">
      <x:formula1>"Open,In progress,Done,Won't fix"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29c7d6af6146ca"/>
  </x:tableParts>
</x:worksheet>
</file>